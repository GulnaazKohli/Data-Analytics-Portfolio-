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0" documentId="8_{2D6ADEBF-8935-4366-8751-9CB5906688DA}" xr6:coauthVersionLast="47" xr6:coauthVersionMax="47" xr10:uidLastSave="{00000000-0000-0000-0000-000000000000}"/>
  <bookViews>
    <workbookView xWindow="0" yWindow="0" windowWidth="16384" windowHeight="8192" tabRatio="500" firstSheet="1" activeTab="1" xr2:uid="{00000000-000D-0000-FFFF-FFFF00000000}"/>
  </bookViews>
  <sheets>
    <sheet name="Financial Data" sheetId="1" r:id="rId1"/>
    <sheet name="Charts Data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6" i="2" l="1"/>
  <c r="C6" i="2"/>
  <c r="B6" i="2"/>
  <c r="D5" i="2"/>
  <c r="C5" i="2"/>
  <c r="B5" i="2"/>
  <c r="D4" i="2"/>
  <c r="C4" i="2"/>
  <c r="B4" i="2"/>
  <c r="D3" i="2"/>
  <c r="C3" i="2"/>
  <c r="B3" i="2"/>
  <c r="D2" i="2"/>
  <c r="C2" i="2"/>
  <c r="B2" i="2"/>
  <c r="Q16" i="1"/>
  <c r="O16" i="1"/>
  <c r="N16" i="1"/>
  <c r="H16" i="1"/>
  <c r="Q15" i="1"/>
  <c r="O15" i="1"/>
  <c r="N15" i="1"/>
  <c r="H15" i="1"/>
  <c r="Q14" i="1"/>
  <c r="O14" i="1"/>
  <c r="N14" i="1"/>
  <c r="H14" i="1"/>
  <c r="Q13" i="1"/>
  <c r="O13" i="1"/>
  <c r="N13" i="1"/>
  <c r="H13" i="1"/>
  <c r="Q12" i="1"/>
  <c r="O12" i="1"/>
  <c r="H12" i="1"/>
  <c r="Q11" i="1"/>
  <c r="O11" i="1"/>
  <c r="N11" i="1"/>
  <c r="H11" i="1"/>
  <c r="Q10" i="1"/>
  <c r="O10" i="1"/>
  <c r="N10" i="1"/>
  <c r="H10" i="1"/>
  <c r="Q9" i="1"/>
  <c r="O9" i="1"/>
  <c r="N9" i="1"/>
  <c r="H9" i="1"/>
  <c r="Q8" i="1"/>
  <c r="O8" i="1"/>
  <c r="N8" i="1"/>
  <c r="H8" i="1"/>
  <c r="Q7" i="1"/>
  <c r="O7" i="1"/>
  <c r="H7" i="1"/>
  <c r="Q6" i="1"/>
  <c r="O6" i="1"/>
  <c r="N6" i="1"/>
  <c r="H6" i="1"/>
  <c r="Q5" i="1"/>
  <c r="O5" i="1"/>
  <c r="N5" i="1"/>
  <c r="H5" i="1"/>
  <c r="Q4" i="1"/>
  <c r="O4" i="1"/>
  <c r="N4" i="1"/>
  <c r="H4" i="1"/>
  <c r="Q3" i="1"/>
  <c r="O3" i="1"/>
  <c r="N3" i="1"/>
  <c r="H3" i="1"/>
  <c r="Q2" i="1"/>
  <c r="O2" i="1"/>
  <c r="H2" i="1"/>
  <c r="K2" i="1" l="1"/>
  <c r="B24" i="2" s="1"/>
  <c r="J2" i="1"/>
  <c r="K3" i="1"/>
  <c r="B25" i="2" s="1"/>
  <c r="J3" i="1"/>
  <c r="R3" i="1"/>
  <c r="K4" i="1"/>
  <c r="B26" i="2" s="1"/>
  <c r="J4" i="1"/>
  <c r="R4" i="1"/>
  <c r="K5" i="1"/>
  <c r="B27" i="2" s="1"/>
  <c r="J5" i="1"/>
  <c r="R5" i="1"/>
  <c r="K6" i="1"/>
  <c r="B28" i="2" s="1"/>
  <c r="J6" i="1"/>
  <c r="B39" i="2" s="1"/>
  <c r="R6" i="1"/>
  <c r="K7" i="1"/>
  <c r="C24" i="2" s="1"/>
  <c r="J7" i="1"/>
  <c r="K8" i="1"/>
  <c r="C25" i="2" s="1"/>
  <c r="J8" i="1"/>
  <c r="R8" i="1"/>
  <c r="K9" i="1"/>
  <c r="C26" i="2" s="1"/>
  <c r="J9" i="1"/>
  <c r="R9" i="1"/>
  <c r="K10" i="1"/>
  <c r="C27" i="2" s="1"/>
  <c r="J10" i="1"/>
  <c r="R10" i="1"/>
  <c r="K11" i="1"/>
  <c r="C28" i="2" s="1"/>
  <c r="J11" i="1"/>
  <c r="B40" i="2" s="1"/>
  <c r="R11" i="1"/>
  <c r="K12" i="1"/>
  <c r="D24" i="2" s="1"/>
  <c r="J12" i="1"/>
  <c r="K13" i="1"/>
  <c r="D25" i="2" s="1"/>
  <c r="J13" i="1"/>
  <c r="R13" i="1"/>
  <c r="K14" i="1"/>
  <c r="D26" i="2" s="1"/>
  <c r="J14" i="1"/>
  <c r="R14" i="1"/>
  <c r="K15" i="1"/>
  <c r="D27" i="2" s="1"/>
  <c r="J15" i="1"/>
  <c r="R15" i="1"/>
  <c r="K16" i="1"/>
  <c r="D28" i="2" s="1"/>
  <c r="J16" i="1"/>
  <c r="B41" i="2" s="1"/>
  <c r="R16" i="1"/>
</calcChain>
</file>

<file path=xl/sharedStrings.xml><?xml version="1.0" encoding="utf-8"?>
<sst xmlns="http://schemas.openxmlformats.org/spreadsheetml/2006/main" count="78" uniqueCount="35">
  <si>
    <t>Company</t>
  </si>
  <si>
    <t>Year</t>
  </si>
  <si>
    <t>Revenue (Cr)</t>
  </si>
  <si>
    <t>Net Profit (Cr)</t>
  </si>
  <si>
    <t>Operating Margin</t>
  </si>
  <si>
    <t>Equity Capital (Cr)</t>
  </si>
  <si>
    <t>Reserves (Cr)</t>
  </si>
  <si>
    <t>Total Equity (Cr)</t>
  </si>
  <si>
    <t>Borrowings (Cr)</t>
  </si>
  <si>
    <t>Debt to Equity</t>
  </si>
  <si>
    <t>ROE</t>
  </si>
  <si>
    <t>ROCE</t>
  </si>
  <si>
    <t>EPS (Rs)</t>
  </si>
  <si>
    <t>YoY Revenue Growth</t>
  </si>
  <si>
    <t>Net Margin</t>
  </si>
  <si>
    <t>Avg USD/INR (FY)</t>
  </si>
  <si>
    <t>Revenue (USD Mn, approx)</t>
  </si>
  <si>
    <t>YoY USD Revenue Growth</t>
  </si>
  <si>
    <t>TCS</t>
  </si>
  <si>
    <t>FY2021</t>
  </si>
  <si>
    <t>-</t>
  </si>
  <si>
    <t>FY2022</t>
  </si>
  <si>
    <t>FY2023</t>
  </si>
  <si>
    <t>FY2024</t>
  </si>
  <si>
    <t>FY2025</t>
  </si>
  <si>
    <t>Infosys</t>
  </si>
  <si>
    <t>Wipro</t>
  </si>
  <si>
    <t>Source: screener.in (Consolidated, Rs. Crores), TCS/Infosys/Wipro FY2021-FY2025. ROE/D-E calculated from Balance Sheet. USD/INR FY-average rates are approximate (RBI Handbook of Statistics reference) - verify exact figures before final submission. USD revenue growth strips out currency effects to show real business growth vs INR-reported growth.</t>
  </si>
  <si>
    <t>TCS Revenue (Cr)</t>
  </si>
  <si>
    <t>Infosys Revenue (Cr)</t>
  </si>
  <si>
    <t>Wipro Revenue (Cr)</t>
  </si>
  <si>
    <t>TCS ROE %</t>
  </si>
  <si>
    <t>Infosys ROE %</t>
  </si>
  <si>
    <t>Wipro ROE %</t>
  </si>
  <si>
    <t>Debt to Equity FY2025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</si>
</sst>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\x"/>
    <numFmt numFmtId="165" formatCode="0.0%"/>
    <numFmt numFmtId="166" formatCode="0.0"/>
  </numFmts>
  <fonts count="5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sz val="11"/>
      <color rgb="FF0000FF"/>
      <name val="Arial"/>
      <charset val="1"/>
    </font>
    <font>
      <i/>
      <sz val="9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/>
    <xf numFmtId="0" fontId="2" fillId="0" borderId="0" xfId="0" applyFont="1" applyAlignment="1"/>
    <xf numFmtId="0" fontId="3" fillId="0" borderId="0" xfId="0" applyFont="1" applyAlignment="1"/>
    <xf numFmtId="9" fontId="3" fillId="0" borderId="0" xfId="0" applyNumberFormat="1" applyFont="1" applyAlignment="1"/>
    <xf numFmtId="164" fontId="2" fillId="0" borderId="0" xfId="0" applyNumberFormat="1" applyFont="1" applyAlignment="1"/>
    <xf numFmtId="165" fontId="2" fillId="0" borderId="0" xfId="0" applyNumberFormat="1" applyFont="1" applyAlignment="1"/>
    <xf numFmtId="166" fontId="3" fillId="0" borderId="0" xfId="0" applyNumberFormat="1" applyFont="1" applyAlignment="1"/>
    <xf numFmtId="3" fontId="2" fillId="0" borderId="0" xfId="0" applyNumberFormat="1" applyFont="1" applyAlignment="1"/>
    <xf numFmtId="0" fontId="4" fillId="0" borderId="0" xfId="0" applyFont="1" applyAlignment="1"/>
    <xf numFmtId="165" fontId="0" fillId="0" borderId="0" xfId="0" applyNumberFormat="1" applyAlignment="1"/>
    <xf numFmtId="164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Trend (INR Crore), FY2021-FY2025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'Charts Data'!$B$1</c:f>
              <c:strCache>
                <c:ptCount val="1"/>
                <c:pt idx="0">
                  <c:v>TCS Revenue (Cr)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'Charts Data'!$A$2:$A$6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'Charts Data'!$B$2:$B$6</c:f>
              <c:numCache>
                <c:formatCode>General</c:formatCode>
                <c:ptCount val="5"/>
                <c:pt idx="0">
                  <c:v>164177</c:v>
                </c:pt>
                <c:pt idx="1">
                  <c:v>191754</c:v>
                </c:pt>
                <c:pt idx="2">
                  <c:v>225458</c:v>
                </c:pt>
                <c:pt idx="3">
                  <c:v>240893</c:v>
                </c:pt>
                <c:pt idx="4">
                  <c:v>255324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E6-4CC7-B709-FF890B3AB87A}"/>
            </c:ext>
          </c:extLst>
        </c:ser>
        <c:ser>
          <c:idx val="1"/>
          <c:order val="1"/>
          <c:tx>
            <c:strRef>
              <c:f>'Charts Data'!$C$1</c:f>
              <c:strCache>
                <c:ptCount val="1"/>
                <c:pt idx="0">
                  <c:v>Infosys Revenue (Cr)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'Charts Data'!$A$2:$A$6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'Charts Data'!$C$2:$C$6</c:f>
              <c:numCache>
                <c:formatCode>General</c:formatCode>
                <c:ptCount val="5"/>
                <c:pt idx="0">
                  <c:v>100472</c:v>
                </c:pt>
                <c:pt idx="1">
                  <c:v>121641</c:v>
                </c:pt>
                <c:pt idx="2">
                  <c:v>146767</c:v>
                </c:pt>
                <c:pt idx="3">
                  <c:v>153670</c:v>
                </c:pt>
                <c:pt idx="4">
                  <c:v>162990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E6-4CC7-B709-FF890B3AB87A}"/>
            </c:ext>
          </c:extLst>
        </c:ser>
        <c:ser>
          <c:idx val="2"/>
          <c:order val="2"/>
          <c:tx>
            <c:strRef>
              <c:f>'Charts Data'!$D$1</c:f>
              <c:strCache>
                <c:ptCount val="1"/>
                <c:pt idx="0">
                  <c:v>Wipro Revenue (Cr)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'Charts Data'!$A$2:$A$6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'Charts Data'!$D$2:$D$6</c:f>
              <c:numCache>
                <c:formatCode>General</c:formatCode>
                <c:ptCount val="5"/>
                <c:pt idx="0">
                  <c:v>61935</c:v>
                </c:pt>
                <c:pt idx="1">
                  <c:v>79312</c:v>
                </c:pt>
                <c:pt idx="2">
                  <c:v>90488</c:v>
                </c:pt>
                <c:pt idx="3">
                  <c:v>89760</c:v>
                </c:pt>
                <c:pt idx="4">
                  <c:v>89088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3E6-4CC7-B709-FF890B3AB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1017608"/>
        <c:axId val="901019656"/>
      </c:lineChart>
      <c:catAx>
        <c:axId val="901017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019656"/>
        <c:crosses val="autoZero"/>
        <c:auto val="1"/>
        <c:lblAlgn val="ctr"/>
        <c:lblOffset val="100"/>
        <c:noMultiLvlLbl val="0"/>
      </c:catAx>
      <c:valAx>
        <c:axId val="901019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 (Cr)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017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Return on Equity (%), FY2021 -FY2025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'Charts Data'!$B$23</c:f>
              <c:strCache>
                <c:ptCount val="1"/>
                <c:pt idx="0">
                  <c:v>TCS ROE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'Charts Data'!$A$24:$A$28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'Charts Data'!$B$24:$B$28</c:f>
              <c:numCache>
                <c:formatCode>0.0%</c:formatCode>
                <c:ptCount val="5"/>
                <c:pt idx="0">
                  <c:v>0.37673110964562145</c:v>
                </c:pt>
                <c:pt idx="1">
                  <c:v>0.43133757390143485</c:v>
                </c:pt>
                <c:pt idx="2">
                  <c:v>0.46782933734406795</c:v>
                </c:pt>
                <c:pt idx="3">
                  <c:v>0.50944313673485175</c:v>
                </c:pt>
                <c:pt idx="4">
                  <c:v>0.514975304993879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63-46F9-A3A0-6C10640D5FFB}"/>
            </c:ext>
          </c:extLst>
        </c:ser>
        <c:ser>
          <c:idx val="1"/>
          <c:order val="1"/>
          <c:tx>
            <c:strRef>
              <c:f>'Charts Data'!$C$23</c:f>
              <c:strCache>
                <c:ptCount val="1"/>
                <c:pt idx="0">
                  <c:v>Infosys ROE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'Charts Data'!$A$24:$A$28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'Charts Data'!$C$24:$C$28</c:f>
              <c:numCache>
                <c:formatCode>0.0%</c:formatCode>
                <c:ptCount val="5"/>
                <c:pt idx="0">
                  <c:v>0.2543909051616875</c:v>
                </c:pt>
                <c:pt idx="1">
                  <c:v>0.29390842733908429</c:v>
                </c:pt>
                <c:pt idx="2">
                  <c:v>0.31970506716883046</c:v>
                </c:pt>
                <c:pt idx="3">
                  <c:v>0.29788006718416632</c:v>
                </c:pt>
                <c:pt idx="4">
                  <c:v>0.27917510279905655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63-46F9-A3A0-6C10640D5FFB}"/>
            </c:ext>
          </c:extLst>
        </c:ser>
        <c:ser>
          <c:idx val="2"/>
          <c:order val="2"/>
          <c:tx>
            <c:strRef>
              <c:f>'Charts Data'!$D$23</c:f>
              <c:strCache>
                <c:ptCount val="1"/>
                <c:pt idx="0">
                  <c:v>Wipro ROE 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'Charts Data'!$A$24:$A$28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'Charts Data'!$D$24:$D$28</c:f>
              <c:numCache>
                <c:formatCode>0.0%</c:formatCode>
                <c:ptCount val="5"/>
                <c:pt idx="0">
                  <c:v>0.19795632137848126</c:v>
                </c:pt>
                <c:pt idx="1">
                  <c:v>0.18719324801614604</c:v>
                </c:pt>
                <c:pt idx="2">
                  <c:v>0.14634083535046608</c:v>
                </c:pt>
                <c:pt idx="3">
                  <c:v>0.14908832329303798</c:v>
                </c:pt>
                <c:pt idx="4">
                  <c:v>0.16048273517556214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A63-46F9-A3A0-6C10640D5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1848839"/>
        <c:axId val="1562194951"/>
      </c:lineChart>
      <c:catAx>
        <c:axId val="1561848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194951"/>
        <c:crosses val="autoZero"/>
        <c:auto val="1"/>
        <c:lblAlgn val="ctr"/>
        <c:lblOffset val="100"/>
        <c:noMultiLvlLbl val="0"/>
      </c:catAx>
      <c:valAx>
        <c:axId val="1562194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ROE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848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'Charts Data'!$B$38</c:f>
              <c:strCache>
                <c:ptCount val="1"/>
                <c:pt idx="0">
                  <c:v>Debt to Equity FY2025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'Charts Data'!$A$39:$A$41</c:f>
              <c:strCache>
                <c:ptCount val="3"/>
                <c:pt idx="0">
                  <c:v>TCS</c:v>
                </c:pt>
                <c:pt idx="1">
                  <c:v>Infosys</c:v>
                </c:pt>
                <c:pt idx="2">
                  <c:v>Wipro</c:v>
                </c:pt>
              </c:strCache>
            </c:strRef>
          </c:cat>
          <c:val>
            <c:numRef>
              <c:f>'Charts Data'!$B$39:$B$41</c:f>
              <c:numCache>
                <c:formatCode>0.00\x</c:formatCode>
                <c:ptCount val="3"/>
                <c:pt idx="0">
                  <c:v>9.9117733969352861E-2</c:v>
                </c:pt>
                <c:pt idx="1">
                  <c:v>8.5860694232816379E-2</c:v>
                </c:pt>
                <c:pt idx="2">
                  <c:v>0.23316011849837306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B6-44EB-8DF7-FEEEAD2AB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2644232"/>
        <c:axId val="855147528"/>
      </c:barChart>
      <c:catAx>
        <c:axId val="1062644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147528"/>
        <c:crosses val="autoZero"/>
        <c:auto val="1"/>
        <c:lblAlgn val="ctr"/>
        <c:lblOffset val="100"/>
        <c:noMultiLvlLbl val="0"/>
      </c:catAx>
      <c:valAx>
        <c:axId val="855147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Debt to Equity 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\x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644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371475</xdr:colOff>
      <xdr:row>0</xdr:row>
      <xdr:rowOff>0</xdr:rowOff>
    </xdr:from>
    <xdr:to>
      <xdr:col>9</xdr:col>
      <xdr:colOff>495300</xdr:colOff>
      <xdr:row>19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E9D3259-8C21-07ED-B45E-B04C93992EE9}"/>
            </a:ext>
            <a:ext uri="{147F2762-F138-4A5C-976F-8EAC2B608ADB}">
              <a16:predDERef xmlns:a16="http://schemas.microsoft.com/office/drawing/2014/main" pre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371475</xdr:colOff>
      <xdr:row>20</xdr:row>
      <xdr:rowOff>180975</xdr:rowOff>
    </xdr:from>
    <xdr:to>
      <xdr:col>9</xdr:col>
      <xdr:colOff>523875</xdr:colOff>
      <xdr:row>35</xdr:row>
      <xdr:rowOff>66675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1079C73-130F-226B-50FD-4AB1F98D3E35}"/>
            </a:ext>
            <a:ext uri="{147F2762-F138-4A5C-976F-8EAC2B608ADB}">
              <a16:predDERef xmlns:a16="http://schemas.microsoft.com/office/drawing/2014/main" pred="{7E9D3259-8C21-07ED-B45E-B04C93992E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381000</xdr:colOff>
      <xdr:row>36</xdr:row>
      <xdr:rowOff>123825</xdr:rowOff>
    </xdr:from>
    <xdr:to>
      <xdr:col>9</xdr:col>
      <xdr:colOff>552450</xdr:colOff>
      <xdr:row>55</xdr:row>
      <xdr:rowOff>9525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59CB548-543A-6E03-1C2A-90EA2E865FA1}"/>
            </a:ext>
            <a:ext uri="{147F2762-F138-4A5C-976F-8EAC2B608ADB}">
              <a16:predDERef xmlns:a16="http://schemas.microsoft.com/office/drawing/2014/main" pred="{41079C73-130F-226B-50FD-4AB1F98D3E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"/>
  <sheetViews>
    <sheetView zoomScaleNormal="100" workbookViewId="0"/>
  </sheetViews>
  <sheetFormatPr defaultColWidth="8.7109375" defaultRowHeight="15"/>
  <cols>
    <col min="1" max="1" width="10" style="1" customWidth="1"/>
    <col min="2" max="2" width="8" style="1" customWidth="1"/>
    <col min="3" max="3" width="13" style="1" customWidth="1"/>
    <col min="4" max="4" width="14" style="1" customWidth="1"/>
    <col min="5" max="5" width="15" style="1" customWidth="1"/>
    <col min="6" max="6" width="16" style="1" customWidth="1"/>
    <col min="7" max="7" width="13" style="1" customWidth="1"/>
    <col min="8" max="8" width="14" style="1" customWidth="1"/>
    <col min="9" max="9" width="13" style="1" customWidth="1"/>
    <col min="10" max="10" width="12" style="1" customWidth="1"/>
    <col min="11" max="12" width="9" style="1" customWidth="1"/>
    <col min="13" max="13" width="10" style="1" customWidth="1"/>
    <col min="14" max="14" width="15" style="1" customWidth="1"/>
    <col min="15" max="15" width="11" style="1" customWidth="1"/>
    <col min="16" max="16" width="16" style="1" customWidth="1"/>
    <col min="17" max="17" width="20" style="1" customWidth="1"/>
    <col min="18" max="18" width="18" style="1" customWidth="1"/>
  </cols>
  <sheetData>
    <row r="1" spans="1:18" ht="26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ht="15" customHeight="1">
      <c r="A2" s="4" t="s">
        <v>18</v>
      </c>
      <c r="B2" s="4" t="s">
        <v>19</v>
      </c>
      <c r="C2" s="5">
        <v>164177</v>
      </c>
      <c r="D2" s="5">
        <v>32562</v>
      </c>
      <c r="E2" s="6">
        <v>0.28000000000000003</v>
      </c>
      <c r="F2" s="5">
        <v>370</v>
      </c>
      <c r="G2" s="5">
        <v>86063</v>
      </c>
      <c r="H2" s="4">
        <f>F2+G2</f>
        <v>86433</v>
      </c>
      <c r="I2" s="5">
        <v>7795</v>
      </c>
      <c r="J2" s="7">
        <f>I2/H2</f>
        <v>9.0185461571390554E-2</v>
      </c>
      <c r="K2" s="8">
        <f>D2/H2</f>
        <v>0.37673110964562145</v>
      </c>
      <c r="L2" s="6">
        <v>0.47</v>
      </c>
      <c r="M2" s="5">
        <v>87.67</v>
      </c>
      <c r="N2" s="4" t="s">
        <v>20</v>
      </c>
      <c r="O2" s="8">
        <f>D2/C2</f>
        <v>0.19833472410873632</v>
      </c>
      <c r="P2" s="9">
        <v>74.2</v>
      </c>
      <c r="Q2" s="10">
        <f>C2*10/P2</f>
        <v>22126.280323450133</v>
      </c>
      <c r="R2" s="4" t="s">
        <v>20</v>
      </c>
    </row>
    <row r="3" spans="1:18" ht="15" customHeight="1">
      <c r="A3" s="4" t="s">
        <v>18</v>
      </c>
      <c r="B3" s="4" t="s">
        <v>21</v>
      </c>
      <c r="C3" s="5">
        <v>191754</v>
      </c>
      <c r="D3" s="5">
        <v>38449</v>
      </c>
      <c r="E3" s="6">
        <v>0.28000000000000003</v>
      </c>
      <c r="F3" s="5">
        <v>366</v>
      </c>
      <c r="G3" s="5">
        <v>88773</v>
      </c>
      <c r="H3" s="4">
        <f>F3+G3</f>
        <v>89139</v>
      </c>
      <c r="I3" s="5">
        <v>7818</v>
      </c>
      <c r="J3" s="7">
        <f>I3/H3</f>
        <v>8.7705718035876554E-2</v>
      </c>
      <c r="K3" s="8">
        <f>D3/H3</f>
        <v>0.43133757390143485</v>
      </c>
      <c r="L3" s="6">
        <v>0.49</v>
      </c>
      <c r="M3" s="5">
        <v>104.75</v>
      </c>
      <c r="N3" s="8">
        <f>(C3-C2)/C2</f>
        <v>0.16797115308478044</v>
      </c>
      <c r="O3" s="8">
        <f>D3/C3</f>
        <v>0.20051211448001086</v>
      </c>
      <c r="P3" s="9">
        <v>74.5</v>
      </c>
      <c r="Q3" s="10">
        <f>C3*10/P3</f>
        <v>25738.791946308724</v>
      </c>
      <c r="R3" s="8">
        <f>(Q3-Q2)/Q2</f>
        <v>0.16326791354215719</v>
      </c>
    </row>
    <row r="4" spans="1:18" ht="15" customHeight="1">
      <c r="A4" s="4" t="s">
        <v>18</v>
      </c>
      <c r="B4" s="4" t="s">
        <v>22</v>
      </c>
      <c r="C4" s="5">
        <v>225458</v>
      </c>
      <c r="D4" s="5">
        <v>42303</v>
      </c>
      <c r="E4" s="6">
        <v>0.26</v>
      </c>
      <c r="F4" s="5">
        <v>366</v>
      </c>
      <c r="G4" s="5">
        <v>90058</v>
      </c>
      <c r="H4" s="4">
        <f>F4+G4</f>
        <v>90424</v>
      </c>
      <c r="I4" s="5">
        <v>7688</v>
      </c>
      <c r="J4" s="7">
        <f>I4/H4</f>
        <v>8.5021675661328858E-2</v>
      </c>
      <c r="K4" s="8">
        <f>D4/H4</f>
        <v>0.46782933734406795</v>
      </c>
      <c r="L4" s="6">
        <v>0.54</v>
      </c>
      <c r="M4" s="5">
        <v>115.19</v>
      </c>
      <c r="N4" s="8">
        <f>(C4-C3)/C3</f>
        <v>0.17576686796624844</v>
      </c>
      <c r="O4" s="8">
        <f>D4/C4</f>
        <v>0.18763139919630265</v>
      </c>
      <c r="P4" s="9">
        <v>80.400000000000006</v>
      </c>
      <c r="Q4" s="10">
        <f>C4*10/P4</f>
        <v>28042.039800995022</v>
      </c>
      <c r="R4" s="8">
        <f>(Q4-Q3)/Q3</f>
        <v>8.9485468451312222E-2</v>
      </c>
    </row>
    <row r="5" spans="1:18" ht="15" customHeight="1">
      <c r="A5" s="4" t="s">
        <v>18</v>
      </c>
      <c r="B5" s="4" t="s">
        <v>23</v>
      </c>
      <c r="C5" s="5">
        <v>240893</v>
      </c>
      <c r="D5" s="5">
        <v>46099</v>
      </c>
      <c r="E5" s="6">
        <v>0.27</v>
      </c>
      <c r="F5" s="5">
        <v>362</v>
      </c>
      <c r="G5" s="5">
        <v>90127</v>
      </c>
      <c r="H5" s="4">
        <f>F5+G5</f>
        <v>90489</v>
      </c>
      <c r="I5" s="5">
        <v>8021</v>
      </c>
      <c r="J5" s="7">
        <f>I5/H5</f>
        <v>8.8640608250726602E-2</v>
      </c>
      <c r="K5" s="8">
        <f>D5/H5</f>
        <v>0.50944313673485175</v>
      </c>
      <c r="L5" s="6">
        <v>0.59</v>
      </c>
      <c r="M5" s="5">
        <v>126.88</v>
      </c>
      <c r="N5" s="8">
        <f>(C5-C4)/C4</f>
        <v>6.8460644554639891E-2</v>
      </c>
      <c r="O5" s="8">
        <f>D5/C5</f>
        <v>0.19136712150207769</v>
      </c>
      <c r="P5" s="9">
        <v>82.8</v>
      </c>
      <c r="Q5" s="10">
        <f>C5*10/P5</f>
        <v>29093.357487922705</v>
      </c>
      <c r="R5" s="8">
        <f>(Q5-Q4)/Q4</f>
        <v>3.7490770799433033E-2</v>
      </c>
    </row>
    <row r="6" spans="1:18" ht="15" customHeight="1">
      <c r="A6" s="4" t="s">
        <v>18</v>
      </c>
      <c r="B6" s="4" t="s">
        <v>24</v>
      </c>
      <c r="C6" s="5">
        <v>255324</v>
      </c>
      <c r="D6" s="5">
        <v>48797</v>
      </c>
      <c r="E6" s="6">
        <v>0.26</v>
      </c>
      <c r="F6" s="5">
        <v>362</v>
      </c>
      <c r="G6" s="5">
        <v>94394</v>
      </c>
      <c r="H6" s="4">
        <f>F6+G6</f>
        <v>94756</v>
      </c>
      <c r="I6" s="5">
        <v>9392</v>
      </c>
      <c r="J6" s="7">
        <f>I6/H6</f>
        <v>9.9117733969352861E-2</v>
      </c>
      <c r="K6" s="8">
        <f>D6/H6</f>
        <v>0.514975304993879</v>
      </c>
      <c r="L6" s="6">
        <v>0.64</v>
      </c>
      <c r="M6" s="5">
        <v>134.19999999999999</v>
      </c>
      <c r="N6" s="8">
        <f>(C6-C5)/C5</f>
        <v>5.9906265437351856E-2</v>
      </c>
      <c r="O6" s="8">
        <f>D6/C6</f>
        <v>0.19111795209224358</v>
      </c>
      <c r="P6" s="9">
        <v>84.5</v>
      </c>
      <c r="Q6" s="10">
        <f>C6*10/P6</f>
        <v>30215.857988165681</v>
      </c>
      <c r="R6" s="8">
        <f>(Q6-Q5)/Q5</f>
        <v>3.8582707434470224E-2</v>
      </c>
    </row>
    <row r="7" spans="1:18" ht="15" customHeight="1">
      <c r="A7" s="4" t="s">
        <v>25</v>
      </c>
      <c r="B7" s="4" t="s">
        <v>19</v>
      </c>
      <c r="C7" s="5">
        <v>100472</v>
      </c>
      <c r="D7" s="5">
        <v>19423</v>
      </c>
      <c r="E7" s="6">
        <v>0.28000000000000003</v>
      </c>
      <c r="F7" s="5">
        <v>2124</v>
      </c>
      <c r="G7" s="5">
        <v>74227</v>
      </c>
      <c r="H7" s="4">
        <f>F7+G7</f>
        <v>76351</v>
      </c>
      <c r="I7" s="5">
        <v>5325</v>
      </c>
      <c r="J7" s="7">
        <f>I7/H7</f>
        <v>6.9743683776243931E-2</v>
      </c>
      <c r="K7" s="8">
        <f>D7/H7</f>
        <v>0.2543909051616875</v>
      </c>
      <c r="L7" s="6">
        <v>0.32</v>
      </c>
      <c r="M7" s="5">
        <v>45.42</v>
      </c>
      <c r="N7" s="4" t="s">
        <v>20</v>
      </c>
      <c r="O7" s="8">
        <f>D7/C7</f>
        <v>0.19331754120550998</v>
      </c>
      <c r="P7" s="9">
        <v>74.2</v>
      </c>
      <c r="Q7" s="10">
        <f>C7*10/P7</f>
        <v>13540.700808625337</v>
      </c>
      <c r="R7" s="4" t="s">
        <v>20</v>
      </c>
    </row>
    <row r="8" spans="1:18" ht="15" customHeight="1">
      <c r="A8" s="4" t="s">
        <v>25</v>
      </c>
      <c r="B8" s="4" t="s">
        <v>21</v>
      </c>
      <c r="C8" s="5">
        <v>121641</v>
      </c>
      <c r="D8" s="5">
        <v>22146</v>
      </c>
      <c r="E8" s="6">
        <v>0.26</v>
      </c>
      <c r="F8" s="5">
        <v>2098</v>
      </c>
      <c r="G8" s="5">
        <v>73252</v>
      </c>
      <c r="H8" s="4">
        <f>F8+G8</f>
        <v>75350</v>
      </c>
      <c r="I8" s="5">
        <v>5474</v>
      </c>
      <c r="J8" s="7">
        <f>I8/H8</f>
        <v>7.264764432647644E-2</v>
      </c>
      <c r="K8" s="8">
        <f>D8/H8</f>
        <v>0.29390842733908429</v>
      </c>
      <c r="L8" s="6">
        <v>0.35</v>
      </c>
      <c r="M8" s="5">
        <v>52.56</v>
      </c>
      <c r="N8" s="8">
        <f>(C8-C7)/C7</f>
        <v>0.21069551715900947</v>
      </c>
      <c r="O8" s="8">
        <f>D8/C8</f>
        <v>0.1820603250548746</v>
      </c>
      <c r="P8" s="9">
        <v>74.5</v>
      </c>
      <c r="Q8" s="10">
        <f>C8*10/P8</f>
        <v>16327.651006711409</v>
      </c>
      <c r="R8" s="8">
        <f>(Q8-Q7)/Q7</f>
        <v>0.20582023319729525</v>
      </c>
    </row>
    <row r="9" spans="1:18" ht="15" customHeight="1">
      <c r="A9" s="4" t="s">
        <v>25</v>
      </c>
      <c r="B9" s="4" t="s">
        <v>22</v>
      </c>
      <c r="C9" s="5">
        <v>146767</v>
      </c>
      <c r="D9" s="5">
        <v>24108</v>
      </c>
      <c r="E9" s="6">
        <v>0.24</v>
      </c>
      <c r="F9" s="5">
        <v>2069</v>
      </c>
      <c r="G9" s="5">
        <v>73338</v>
      </c>
      <c r="H9" s="4">
        <f>F9+G9</f>
        <v>75407</v>
      </c>
      <c r="I9" s="5">
        <v>8299</v>
      </c>
      <c r="J9" s="7">
        <f>I9/H9</f>
        <v>0.11005609558794277</v>
      </c>
      <c r="K9" s="8">
        <f>D9/H9</f>
        <v>0.31970506716883046</v>
      </c>
      <c r="L9" s="6">
        <v>0.37</v>
      </c>
      <c r="M9" s="5">
        <v>58.08</v>
      </c>
      <c r="N9" s="8">
        <f>(C9-C8)/C8</f>
        <v>0.20655864387829762</v>
      </c>
      <c r="O9" s="8">
        <f>D9/C9</f>
        <v>0.16426035825492105</v>
      </c>
      <c r="P9" s="9">
        <v>80.400000000000006</v>
      </c>
      <c r="Q9" s="10">
        <f>C9*10/P9</f>
        <v>18254.601990049749</v>
      </c>
      <c r="R9" s="8">
        <f>(Q9-Q8)/Q8</f>
        <v>0.11801764886732791</v>
      </c>
    </row>
    <row r="10" spans="1:18" ht="15" customHeight="1">
      <c r="A10" s="4" t="s">
        <v>25</v>
      </c>
      <c r="B10" s="4" t="s">
        <v>23</v>
      </c>
      <c r="C10" s="5">
        <v>153670</v>
      </c>
      <c r="D10" s="5">
        <v>26248</v>
      </c>
      <c r="E10" s="6">
        <v>0.24</v>
      </c>
      <c r="F10" s="5">
        <v>2071</v>
      </c>
      <c r="G10" s="5">
        <v>86045</v>
      </c>
      <c r="H10" s="4">
        <f>F10+G10</f>
        <v>88116</v>
      </c>
      <c r="I10" s="5">
        <v>8359</v>
      </c>
      <c r="J10" s="7">
        <f>I10/H10</f>
        <v>9.4863588905533619E-2</v>
      </c>
      <c r="K10" s="8">
        <f>D10/H10</f>
        <v>0.29788006718416632</v>
      </c>
      <c r="L10" s="6">
        <v>0.4</v>
      </c>
      <c r="M10" s="5">
        <v>63.2</v>
      </c>
      <c r="N10" s="8">
        <f>(C10-C9)/C9</f>
        <v>4.7033733741236108E-2</v>
      </c>
      <c r="O10" s="8">
        <f>D10/C10</f>
        <v>0.17080757467300059</v>
      </c>
      <c r="P10" s="9">
        <v>82.8</v>
      </c>
      <c r="Q10" s="10">
        <f>C10*10/P10</f>
        <v>18559.178743961354</v>
      </c>
      <c r="R10" s="8">
        <f>(Q10-Q9)/Q9</f>
        <v>1.6684929864678791E-2</v>
      </c>
    </row>
    <row r="11" spans="1:18" ht="15" customHeight="1">
      <c r="A11" s="4" t="s">
        <v>25</v>
      </c>
      <c r="B11" s="4" t="s">
        <v>24</v>
      </c>
      <c r="C11" s="5">
        <v>162990</v>
      </c>
      <c r="D11" s="5">
        <v>26750</v>
      </c>
      <c r="E11" s="6">
        <v>0.24</v>
      </c>
      <c r="F11" s="5">
        <v>2073</v>
      </c>
      <c r="G11" s="5">
        <v>93745</v>
      </c>
      <c r="H11" s="4">
        <f>F11+G11</f>
        <v>95818</v>
      </c>
      <c r="I11" s="5">
        <v>8227</v>
      </c>
      <c r="J11" s="7">
        <f>I11/H11</f>
        <v>8.5860694232816379E-2</v>
      </c>
      <c r="K11" s="8">
        <f>D11/H11</f>
        <v>0.27917510279905655</v>
      </c>
      <c r="L11" s="6">
        <v>0.4</v>
      </c>
      <c r="M11" s="5">
        <v>64.319999999999993</v>
      </c>
      <c r="N11" s="8">
        <f>(C11-C10)/C10</f>
        <v>6.064944361293681E-2</v>
      </c>
      <c r="O11" s="8">
        <f>D11/C11</f>
        <v>0.16412049819007302</v>
      </c>
      <c r="P11" s="9">
        <v>84.5</v>
      </c>
      <c r="Q11" s="10">
        <f>C11*10/P11</f>
        <v>19288.757396449702</v>
      </c>
      <c r="R11" s="8">
        <f>(Q11-Q10)/Q10</f>
        <v>3.9310934096463329E-2</v>
      </c>
    </row>
    <row r="12" spans="1:18" ht="15" customHeight="1">
      <c r="A12" s="4" t="s">
        <v>26</v>
      </c>
      <c r="B12" s="4" t="s">
        <v>19</v>
      </c>
      <c r="C12" s="5">
        <v>61935</v>
      </c>
      <c r="D12" s="5">
        <v>10868</v>
      </c>
      <c r="E12" s="6">
        <v>0.24</v>
      </c>
      <c r="F12" s="5">
        <v>1096</v>
      </c>
      <c r="G12" s="5">
        <v>53805</v>
      </c>
      <c r="H12" s="4">
        <f>F12+G12</f>
        <v>54901</v>
      </c>
      <c r="I12" s="5">
        <v>10451</v>
      </c>
      <c r="J12" s="7">
        <f>I12/H12</f>
        <v>0.19036083131454801</v>
      </c>
      <c r="K12" s="8">
        <f>D12/H12</f>
        <v>0.19795632137848126</v>
      </c>
      <c r="L12" s="6">
        <v>0.2</v>
      </c>
      <c r="M12" s="5">
        <v>9.85</v>
      </c>
      <c r="N12" s="4" t="s">
        <v>20</v>
      </c>
      <c r="O12" s="8">
        <f>D12/C12</f>
        <v>0.17547428755953823</v>
      </c>
      <c r="P12" s="9">
        <v>74.2</v>
      </c>
      <c r="Q12" s="10">
        <f>C12*10/P12</f>
        <v>8347.0350404312667</v>
      </c>
      <c r="R12" s="4" t="s">
        <v>20</v>
      </c>
    </row>
    <row r="13" spans="1:18" ht="15" customHeight="1">
      <c r="A13" s="4" t="s">
        <v>26</v>
      </c>
      <c r="B13" s="4" t="s">
        <v>21</v>
      </c>
      <c r="C13" s="5">
        <v>79312</v>
      </c>
      <c r="D13" s="5">
        <v>12243</v>
      </c>
      <c r="E13" s="6">
        <v>0.21</v>
      </c>
      <c r="F13" s="5">
        <v>1096</v>
      </c>
      <c r="G13" s="5">
        <v>64307</v>
      </c>
      <c r="H13" s="4">
        <f>F13+G13</f>
        <v>65403</v>
      </c>
      <c r="I13" s="5">
        <v>17593</v>
      </c>
      <c r="J13" s="7">
        <f>I13/H13</f>
        <v>0.26899377704386651</v>
      </c>
      <c r="K13" s="8">
        <f>D13/H13</f>
        <v>0.18719324801614604</v>
      </c>
      <c r="L13" s="6">
        <v>0.22</v>
      </c>
      <c r="M13" s="5">
        <v>11.15</v>
      </c>
      <c r="N13" s="8">
        <f>(C13-C12)/C12</f>
        <v>0.28056833777347218</v>
      </c>
      <c r="O13" s="8">
        <f>D13/C13</f>
        <v>0.15436503933830947</v>
      </c>
      <c r="P13" s="9">
        <v>74.5</v>
      </c>
      <c r="Q13" s="10">
        <f>C13*10/P13</f>
        <v>10645.906040268457</v>
      </c>
      <c r="R13" s="8">
        <f>(Q13-Q12)/Q12</f>
        <v>0.27541168674888117</v>
      </c>
    </row>
    <row r="14" spans="1:18" ht="15" customHeight="1">
      <c r="A14" s="4" t="s">
        <v>26</v>
      </c>
      <c r="B14" s="4" t="s">
        <v>22</v>
      </c>
      <c r="C14" s="5">
        <v>90488</v>
      </c>
      <c r="D14" s="5">
        <v>11366</v>
      </c>
      <c r="E14" s="6">
        <v>0.19</v>
      </c>
      <c r="F14" s="5">
        <v>1098</v>
      </c>
      <c r="G14" s="5">
        <v>76570</v>
      </c>
      <c r="H14" s="4">
        <f>F14+G14</f>
        <v>77668</v>
      </c>
      <c r="I14" s="5">
        <v>17467</v>
      </c>
      <c r="J14" s="7">
        <f>I14/H14</f>
        <v>0.2248931348818046</v>
      </c>
      <c r="K14" s="8">
        <f>D14/H14</f>
        <v>0.14634083535046608</v>
      </c>
      <c r="L14" s="6">
        <v>0.21</v>
      </c>
      <c r="M14" s="5">
        <v>10.34</v>
      </c>
      <c r="N14" s="8">
        <f>(C14-C13)/C13</f>
        <v>0.14091184183982247</v>
      </c>
      <c r="O14" s="8">
        <f>D14/C14</f>
        <v>0.12560781540093713</v>
      </c>
      <c r="P14" s="9">
        <v>80.400000000000006</v>
      </c>
      <c r="Q14" s="10">
        <f>C14*10/P14</f>
        <v>11254.726368159203</v>
      </c>
      <c r="R14" s="8">
        <f>(Q14-Q13)/Q13</f>
        <v>5.7188211655059211E-2</v>
      </c>
    </row>
    <row r="15" spans="1:18" ht="15" customHeight="1">
      <c r="A15" s="4" t="s">
        <v>26</v>
      </c>
      <c r="B15" s="4" t="s">
        <v>23</v>
      </c>
      <c r="C15" s="5">
        <v>89760</v>
      </c>
      <c r="D15" s="5">
        <v>11112</v>
      </c>
      <c r="E15" s="6">
        <v>0.19</v>
      </c>
      <c r="F15" s="5">
        <v>1045</v>
      </c>
      <c r="G15" s="5">
        <v>73488</v>
      </c>
      <c r="H15" s="4">
        <f>F15+G15</f>
        <v>74533</v>
      </c>
      <c r="I15" s="5">
        <v>16465</v>
      </c>
      <c r="J15" s="7">
        <f>I15/H15</f>
        <v>0.2209088591630553</v>
      </c>
      <c r="K15" s="8">
        <f>D15/H15</f>
        <v>0.14908832329303798</v>
      </c>
      <c r="L15" s="6">
        <v>0.18</v>
      </c>
      <c r="M15" s="5">
        <v>10.57</v>
      </c>
      <c r="N15" s="8">
        <f>(C15-C14)/C14</f>
        <v>-8.0452656705861554E-3</v>
      </c>
      <c r="O15" s="8">
        <f>D15/C15</f>
        <v>0.12379679144385027</v>
      </c>
      <c r="P15" s="9">
        <v>82.8</v>
      </c>
      <c r="Q15" s="10">
        <f>C15*10/P15</f>
        <v>10840.579710144928</v>
      </c>
      <c r="R15" s="8">
        <f>(Q15-Q14)/Q14</f>
        <v>-3.6797576810569048E-2</v>
      </c>
    </row>
    <row r="16" spans="1:18" ht="15" customHeight="1">
      <c r="A16" s="4" t="s">
        <v>26</v>
      </c>
      <c r="B16" s="4" t="s">
        <v>24</v>
      </c>
      <c r="C16" s="5">
        <v>89088</v>
      </c>
      <c r="D16" s="5">
        <v>13218</v>
      </c>
      <c r="E16" s="6">
        <v>0.2</v>
      </c>
      <c r="F16" s="5">
        <v>2094</v>
      </c>
      <c r="G16" s="5">
        <v>80270</v>
      </c>
      <c r="H16" s="4">
        <f>F16+G16</f>
        <v>82364</v>
      </c>
      <c r="I16" s="5">
        <v>19204</v>
      </c>
      <c r="J16" s="7">
        <f>I16/H16</f>
        <v>0.23316011849837306</v>
      </c>
      <c r="K16" s="8">
        <f>D16/H16</f>
        <v>0.16048273517556214</v>
      </c>
      <c r="L16" s="6">
        <v>0.17</v>
      </c>
      <c r="M16" s="5">
        <v>12.54</v>
      </c>
      <c r="N16" s="8">
        <f>(C16-C15)/C15</f>
        <v>-7.4866310160427805E-3</v>
      </c>
      <c r="O16" s="8">
        <f>D16/C16</f>
        <v>0.14837015086206898</v>
      </c>
      <c r="P16" s="9">
        <v>84.5</v>
      </c>
      <c r="Q16" s="10">
        <f>C16*10/P16</f>
        <v>10542.958579881657</v>
      </c>
      <c r="R16" s="8">
        <f>(Q16-Q15)/Q15</f>
        <v>-2.7454355599151999E-2</v>
      </c>
    </row>
    <row r="18" spans="1:1" ht="15" customHeight="1">
      <c r="A18" s="11" t="s">
        <v>27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1"/>
  <sheetViews>
    <sheetView tabSelected="1" zoomScaleNormal="100" workbookViewId="0">
      <selection activeCell="B38" sqref="A38:B41"/>
    </sheetView>
  </sheetViews>
  <sheetFormatPr defaultColWidth="16.28515625" defaultRowHeight="15"/>
  <cols>
    <col min="1" max="16384" width="16.28515625" style="1"/>
  </cols>
  <sheetData>
    <row r="1" spans="1:4" ht="15" customHeight="1">
      <c r="A1" s="1" t="s">
        <v>1</v>
      </c>
      <c r="B1" s="1" t="s">
        <v>28</v>
      </c>
      <c r="C1" s="1" t="s">
        <v>29</v>
      </c>
      <c r="D1" s="1" t="s">
        <v>30</v>
      </c>
    </row>
    <row r="2" spans="1:4" ht="15" customHeight="1">
      <c r="A2" s="1" t="s">
        <v>19</v>
      </c>
      <c r="B2" s="1">
        <f>'Financial Data'!C2</f>
        <v>164177</v>
      </c>
      <c r="C2" s="1">
        <f>'Financial Data'!C7</f>
        <v>100472</v>
      </c>
      <c r="D2" s="1">
        <f>'Financial Data'!C12</f>
        <v>61935</v>
      </c>
    </row>
    <row r="3" spans="1:4" ht="15" customHeight="1">
      <c r="A3" s="1" t="s">
        <v>21</v>
      </c>
      <c r="B3" s="1">
        <f>'Financial Data'!C3</f>
        <v>191754</v>
      </c>
      <c r="C3" s="1">
        <f>'Financial Data'!C8</f>
        <v>121641</v>
      </c>
      <c r="D3" s="1">
        <f>'Financial Data'!C13</f>
        <v>79312</v>
      </c>
    </row>
    <row r="4" spans="1:4" ht="15" customHeight="1">
      <c r="A4" s="1" t="s">
        <v>22</v>
      </c>
      <c r="B4" s="1">
        <f>'Financial Data'!C4</f>
        <v>225458</v>
      </c>
      <c r="C4" s="1">
        <f>'Financial Data'!C9</f>
        <v>146767</v>
      </c>
      <c r="D4" s="1">
        <f>'Financial Data'!C14</f>
        <v>90488</v>
      </c>
    </row>
    <row r="5" spans="1:4" ht="15" customHeight="1">
      <c r="A5" s="1" t="s">
        <v>23</v>
      </c>
      <c r="B5" s="1">
        <f>'Financial Data'!C5</f>
        <v>240893</v>
      </c>
      <c r="C5" s="1">
        <f>'Financial Data'!C10</f>
        <v>153670</v>
      </c>
      <c r="D5" s="1">
        <f>'Financial Data'!C15</f>
        <v>89760</v>
      </c>
    </row>
    <row r="6" spans="1:4" ht="15" customHeight="1">
      <c r="A6" s="1" t="s">
        <v>24</v>
      </c>
      <c r="B6" s="1">
        <f>'Financial Data'!C6</f>
        <v>255324</v>
      </c>
      <c r="C6" s="1">
        <f>'Financial Data'!C11</f>
        <v>162990</v>
      </c>
      <c r="D6" s="1">
        <f>'Financial Data'!C16</f>
        <v>89088</v>
      </c>
    </row>
    <row r="23" spans="1:4">
      <c r="A23" s="1" t="s">
        <v>1</v>
      </c>
      <c r="B23" s="1" t="s">
        <v>31</v>
      </c>
      <c r="C23" s="1" t="s">
        <v>32</v>
      </c>
      <c r="D23" s="1" t="s">
        <v>33</v>
      </c>
    </row>
    <row r="24" spans="1:4">
      <c r="A24" s="1" t="s">
        <v>19</v>
      </c>
      <c r="B24" s="12">
        <f>'Financial Data'!K2</f>
        <v>0.37673110964562145</v>
      </c>
      <c r="C24" s="12">
        <f>'Financial Data'!K7</f>
        <v>0.2543909051616875</v>
      </c>
      <c r="D24" s="12">
        <f>'Financial Data'!K12</f>
        <v>0.19795632137848126</v>
      </c>
    </row>
    <row r="25" spans="1:4">
      <c r="A25" s="1" t="s">
        <v>21</v>
      </c>
      <c r="B25" s="12">
        <f>'Financial Data'!K3</f>
        <v>0.43133757390143485</v>
      </c>
      <c r="C25" s="12">
        <f>'Financial Data'!K8</f>
        <v>0.29390842733908429</v>
      </c>
      <c r="D25" s="12">
        <f>'Financial Data'!K13</f>
        <v>0.18719324801614604</v>
      </c>
    </row>
    <row r="26" spans="1:4">
      <c r="A26" s="1" t="s">
        <v>22</v>
      </c>
      <c r="B26" s="12">
        <f>'Financial Data'!K4</f>
        <v>0.46782933734406795</v>
      </c>
      <c r="C26" s="12">
        <f>'Financial Data'!K9</f>
        <v>0.31970506716883046</v>
      </c>
      <c r="D26" s="12">
        <f>'Financial Data'!K14</f>
        <v>0.14634083535046608</v>
      </c>
    </row>
    <row r="27" spans="1:4">
      <c r="A27" s="1" t="s">
        <v>23</v>
      </c>
      <c r="B27" s="12">
        <f>'Financial Data'!K5</f>
        <v>0.50944313673485175</v>
      </c>
      <c r="C27" s="12">
        <f>'Financial Data'!K10</f>
        <v>0.29788006718416632</v>
      </c>
      <c r="D27" s="12">
        <f>'Financial Data'!K15</f>
        <v>0.14908832329303798</v>
      </c>
    </row>
    <row r="28" spans="1:4">
      <c r="A28" s="1" t="s">
        <v>24</v>
      </c>
      <c r="B28" s="12">
        <f>'Financial Data'!K6</f>
        <v>0.514975304993879</v>
      </c>
      <c r="C28" s="12">
        <f>'Financial Data'!K11</f>
        <v>0.27917510279905655</v>
      </c>
      <c r="D28" s="12">
        <f>'Financial Data'!K16</f>
        <v>0.16048273517556214</v>
      </c>
    </row>
    <row r="38" spans="1:2">
      <c r="A38" s="1" t="s">
        <v>0</v>
      </c>
      <c r="B38" s="1" t="s">
        <v>34</v>
      </c>
    </row>
    <row r="39" spans="1:2">
      <c r="A39" s="1" t="s">
        <v>18</v>
      </c>
      <c r="B39" s="13">
        <f>'Financial Data'!J6</f>
        <v>9.9117733969352861E-2</v>
      </c>
    </row>
    <row r="40" spans="1:2">
      <c r="A40" s="1" t="s">
        <v>25</v>
      </c>
      <c r="B40" s="13">
        <f>'Financial Data'!J11</f>
        <v>8.5860694232816379E-2</v>
      </c>
    </row>
    <row r="41" spans="1:2">
      <c r="A41" s="1" t="s">
        <v>26</v>
      </c>
      <c r="B41" s="13">
        <f>'Financial Data'!J16</f>
        <v>0.23316011849837306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1</cp:revision>
  <dcterms:created xsi:type="dcterms:W3CDTF">2026-08-06T11:23:28Z</dcterms:created>
  <dcterms:modified xsi:type="dcterms:W3CDTF">2026-08-07T08:05:25Z</dcterms:modified>
  <cp:category/>
  <cp:contentStatus/>
</cp:coreProperties>
</file>